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I:\eha\eha-investment-on-gold\"/>
    </mc:Choice>
  </mc:AlternateContent>
  <xr:revisionPtr revIDLastSave="0" documentId="13_ncr:1_{1B21379C-50BF-4A56-9B41-C88A3C3C0519}" xr6:coauthVersionLast="47" xr6:coauthVersionMax="47" xr10:uidLastSave="{00000000-0000-0000-0000-000000000000}"/>
  <bookViews>
    <workbookView xWindow="-28800" yWindow="0" windowWidth="28800" windowHeight="15600" activeTab="6" xr2:uid="{00000000-000D-0000-FFFF-FFFF00000000}"/>
  </bookViews>
  <sheets>
    <sheet name="PriceBubble" sheetId="2" r:id="rId1"/>
    <sheet name="GoldBar" sheetId="1" r:id="rId2"/>
    <sheet name="Q1" sheetId="3" r:id="rId3"/>
    <sheet name="Q2" sheetId="5" r:id="rId4"/>
    <sheet name="Q3" sheetId="6" r:id="rId5"/>
    <sheet name="Compare" sheetId="7" r:id="rId6"/>
    <sheet name="Calc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8" l="1"/>
  <c r="K3" i="8"/>
  <c r="G5" i="7"/>
  <c r="G6" i="7"/>
  <c r="G7" i="7"/>
  <c r="G8" i="7"/>
  <c r="E4" i="7"/>
  <c r="E5" i="7"/>
  <c r="E6" i="7"/>
  <c r="E7" i="7"/>
  <c r="E8" i="7"/>
  <c r="E9" i="7"/>
  <c r="G9" i="7"/>
  <c r="F5" i="7"/>
  <c r="F4" i="7"/>
  <c r="C7" i="2"/>
  <c r="D4" i="8" a="1"/>
  <c r="D3" i="8" a="1"/>
  <c r="E4" i="6" a="1"/>
  <c r="E5" i="6" a="1"/>
  <c r="E9" i="6" a="1"/>
  <c r="E10" i="6" a="1"/>
  <c r="E6" i="6" a="1"/>
  <c r="E11" i="6" a="1"/>
  <c r="E7" i="6" a="1"/>
  <c r="E8" i="6" a="1"/>
  <c r="E3" i="6" a="1"/>
  <c r="D16" i="5" a="1"/>
  <c r="D5" i="5" a="1"/>
  <c r="D9" i="5" a="1"/>
  <c r="D13" i="5" a="1"/>
  <c r="D17" i="5" a="1"/>
  <c r="D11" i="5" a="1"/>
  <c r="D6" i="5" a="1"/>
  <c r="D10" i="5" a="1"/>
  <c r="D14" i="5" a="1"/>
  <c r="D7" i="5" a="1"/>
  <c r="D4" i="5" a="1"/>
  <c r="D8" i="5" a="1"/>
  <c r="D12" i="5" a="1"/>
  <c r="D15" i="5" a="1"/>
  <c r="D3" i="5" a="1"/>
  <c r="D4" i="3" a="1"/>
  <c r="D8" i="3" a="1"/>
  <c r="D12" i="3" a="1"/>
  <c r="D5" i="3" a="1"/>
  <c r="D9" i="3" a="1"/>
  <c r="D6" i="3" a="1"/>
  <c r="D10" i="3" a="1"/>
  <c r="D7" i="3" a="1"/>
  <c r="D11" i="3" a="1"/>
  <c r="D3" i="3" a="1"/>
  <c r="C13" i="2" a="1"/>
  <c r="C12" i="2" a="1"/>
  <c r="C3" i="2" a="1"/>
  <c r="D9" i="6" a="1"/>
  <c r="D7" i="6" a="1"/>
  <c r="C6" i="2" a="1"/>
  <c r="D4" i="8" l="1"/>
  <c r="D3" i="8"/>
  <c r="H3" i="8" s="1"/>
  <c r="E8" i="6"/>
  <c r="E7" i="6"/>
  <c r="E11" i="6"/>
  <c r="E6" i="6"/>
  <c r="E10" i="6"/>
  <c r="E9" i="6"/>
  <c r="E5" i="6"/>
  <c r="E4" i="6"/>
  <c r="E3" i="6"/>
  <c r="D15" i="5"/>
  <c r="D12" i="5"/>
  <c r="D8" i="5"/>
  <c r="D4" i="5"/>
  <c r="D7" i="5"/>
  <c r="D14" i="5"/>
  <c r="D10" i="5"/>
  <c r="D6" i="5"/>
  <c r="D11" i="5"/>
  <c r="D17" i="5"/>
  <c r="D13" i="5"/>
  <c r="D9" i="5"/>
  <c r="D5" i="5"/>
  <c r="D16" i="5"/>
  <c r="D3" i="5"/>
  <c r="D11" i="3"/>
  <c r="D7" i="3"/>
  <c r="D10" i="3"/>
  <c r="D6" i="3"/>
  <c r="D9" i="3"/>
  <c r="D5" i="3"/>
  <c r="D12" i="3"/>
  <c r="D8" i="3"/>
  <c r="D4" i="3"/>
  <c r="D3" i="3"/>
  <c r="C13" i="2"/>
  <c r="C12" i="2"/>
  <c r="C3" i="2"/>
  <c r="C4" i="2" s="1"/>
  <c r="D3" i="1"/>
  <c r="C3" i="1"/>
  <c r="K5" i="8"/>
  <c r="D9" i="6"/>
  <c r="D7" i="6"/>
  <c r="C6" i="2"/>
  <c r="C6" i="7" a="1"/>
  <c r="C5" i="7" a="1"/>
  <c r="C4" i="7" a="1"/>
  <c r="C9" i="7" a="1"/>
  <c r="C8" i="7" a="1"/>
  <c r="C7" i="7" a="1"/>
  <c r="C7" i="7" l="1"/>
  <c r="I6" i="6"/>
  <c r="C8" i="7"/>
  <c r="C9" i="7"/>
  <c r="C4" i="7"/>
  <c r="I8" i="6"/>
  <c r="G17" i="5"/>
  <c r="I4" i="6"/>
  <c r="I3" i="6"/>
  <c r="G3" i="8"/>
  <c r="G8" i="5"/>
  <c r="G10" i="5"/>
  <c r="C5" i="7"/>
  <c r="H9" i="6"/>
  <c r="G6" i="5"/>
  <c r="H12" i="3"/>
  <c r="C6" i="7"/>
  <c r="C5" i="1"/>
  <c r="C8" i="1" s="1"/>
  <c r="C9" i="2"/>
  <c r="C10" i="2" s="1"/>
  <c r="C16" i="2" s="1"/>
  <c r="H4" i="8"/>
  <c r="G4" i="8"/>
  <c r="H13" i="5"/>
  <c r="G13" i="5"/>
  <c r="I11" i="6"/>
  <c r="H11" i="6"/>
  <c r="H17" i="5"/>
  <c r="G4" i="5"/>
  <c r="H4" i="5"/>
  <c r="H7" i="6"/>
  <c r="I7" i="6"/>
  <c r="G14" i="5"/>
  <c r="H14" i="5"/>
  <c r="I5" i="6"/>
  <c r="H5" i="6"/>
  <c r="H9" i="5"/>
  <c r="G9" i="5"/>
  <c r="H8" i="5"/>
  <c r="G12" i="5"/>
  <c r="H12" i="5"/>
  <c r="I10" i="6"/>
  <c r="H10" i="6"/>
  <c r="H15" i="5"/>
  <c r="G15" i="5"/>
  <c r="G16" i="5"/>
  <c r="H16" i="5"/>
  <c r="H7" i="5"/>
  <c r="G7" i="5"/>
  <c r="G5" i="5"/>
  <c r="H5" i="5"/>
  <c r="G11" i="5"/>
  <c r="H11" i="5"/>
  <c r="H3" i="5"/>
  <c r="G3" i="5"/>
  <c r="H5" i="3"/>
  <c r="G5" i="3"/>
  <c r="H9" i="3"/>
  <c r="G9" i="3"/>
  <c r="G10" i="3"/>
  <c r="H10" i="3"/>
  <c r="H11" i="3"/>
  <c r="G11" i="3"/>
  <c r="H6" i="3"/>
  <c r="G6" i="3"/>
  <c r="H7" i="3"/>
  <c r="G7" i="3"/>
  <c r="H8" i="3"/>
  <c r="G8" i="3"/>
  <c r="H4" i="3"/>
  <c r="G4" i="3"/>
  <c r="H4" i="6" l="1"/>
  <c r="H3" i="6"/>
  <c r="H6" i="5"/>
  <c r="H10" i="5"/>
  <c r="C11" i="1"/>
  <c r="C14" i="1" s="1"/>
  <c r="G12" i="3"/>
  <c r="H6" i="6"/>
  <c r="H8" i="6"/>
  <c r="C15" i="2"/>
  <c r="I9" i="6"/>
  <c r="H3" i="3"/>
  <c r="G3" i="3"/>
  <c r="C1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<sst xmlns="http://schemas.openxmlformats.org/spreadsheetml/2006/main" count="127" uniqueCount="55">
  <si>
    <t>عیار طلا</t>
  </si>
  <si>
    <t>ریال</t>
  </si>
  <si>
    <t>وزن شمش</t>
  </si>
  <si>
    <t>گرم</t>
  </si>
  <si>
    <t>https://www.tgju.org/profile/geram24</t>
  </si>
  <si>
    <t>قیمت طلای خام (براساس عیار)</t>
  </si>
  <si>
    <t>درصد اجرت ساخت شمش</t>
  </si>
  <si>
    <t>مبلغ اجرت ساخت شمش</t>
  </si>
  <si>
    <t>قیمت واحد طلای خام (براساس عیار)</t>
  </si>
  <si>
    <t>حک شده روی بدنه شمش طلا</t>
  </si>
  <si>
    <t>درصد سود فروشنده</t>
  </si>
  <si>
    <t>مبلغ سود فروشنده</t>
  </si>
  <si>
    <t>هزینه تولید شمش که بین ۲ تا ۷ درصد ارزش طلای خام است</t>
  </si>
  <si>
    <t>درصد مالیات بر ارزش افزوده</t>
  </si>
  <si>
    <t>مبلغ مالیات بر ارزش افزوده</t>
  </si>
  <si>
    <t>قیمت یک اونس طلا ۲۴ عیار</t>
  </si>
  <si>
    <t>دلار</t>
  </si>
  <si>
    <t>https://goldprice.org/live-gold-price.html</t>
  </si>
  <si>
    <t>قیمت دلار</t>
  </si>
  <si>
    <t>قیمت یک اونس طلا به ریال</t>
  </si>
  <si>
    <t>https://www.tgju.org/profile/price_dollar_rl</t>
  </si>
  <si>
    <t>قیمت یک گرم طلای ۲۴ عیار</t>
  </si>
  <si>
    <t>قیمت یک گرم طلای ۱۸ عیار</t>
  </si>
  <si>
    <t>نسبت تبدیل 24 عیار به 18 عیار</t>
  </si>
  <si>
    <t>یک گرم طلای ۲۴ عیار (مضنه بازار)</t>
  </si>
  <si>
    <t>یک گرم طلای ۱۸ عیار (مضنه بازار)</t>
  </si>
  <si>
    <t>درصد حباب طلای 24 عیار</t>
  </si>
  <si>
    <t>درصد حباب طلای 18 عیار</t>
  </si>
  <si>
    <t>https://www.tgju.org/profile/geram18</t>
  </si>
  <si>
    <t>قیمت نهایی شمش (براساس عیار)</t>
  </si>
  <si>
    <t>فروشنده</t>
  </si>
  <si>
    <t>پارسیس</t>
  </si>
  <si>
    <t>وزن
(گرم)</t>
  </si>
  <si>
    <t>قیمت مبنا 
(تومان)</t>
  </si>
  <si>
    <t>24 عیار
(تومان)</t>
  </si>
  <si>
    <t>تفاوت
(تومان)</t>
  </si>
  <si>
    <t>درصد تفاوت</t>
  </si>
  <si>
    <t>Raw Gold Unit Price</t>
  </si>
  <si>
    <t>Weight</t>
  </si>
  <si>
    <t>Making Fee</t>
  </si>
  <si>
    <t>Making Fee Rate</t>
  </si>
  <si>
    <t>VAT Rate</t>
  </si>
  <si>
    <t>Raw Gold Price</t>
  </si>
  <si>
    <t>(Store Profit) Margin Fee Rate</t>
  </si>
  <si>
    <t>Marging Fee</t>
  </si>
  <si>
    <t>VAT</t>
  </si>
  <si>
    <t>Total Price</t>
  </si>
  <si>
    <t>ایران شمش</t>
  </si>
  <si>
    <t>زکوین</t>
  </si>
  <si>
    <t>اونس</t>
  </si>
  <si>
    <t>ضریب تبدیل اونس به گرم</t>
  </si>
  <si>
    <t>قیمت (تومان)</t>
  </si>
  <si>
    <t>تعداد</t>
  </si>
  <si>
    <t>مبلغ کل
(تومان)</t>
  </si>
  <si>
    <t>2025.03.27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</si>
</sst>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  <numFmt numFmtId="166" formatCode="_(* #,##0.0000000_);_(* \(#,##0.0000000\);_(* &quot;-&quot;??_);_(@_)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NovaPay"/>
    </font>
    <font>
      <sz val="11"/>
      <color theme="1"/>
      <name val="Calibri"/>
      <family val="2"/>
      <scheme val="minor"/>
    </font>
    <font>
      <sz val="14"/>
      <color theme="1"/>
      <name val="NovaBold"/>
    </font>
    <font>
      <sz val="10"/>
      <color rgb="FFC00000"/>
      <name val="Cascadia Code"/>
      <family val="3"/>
    </font>
    <font>
      <sz val="10"/>
      <color theme="1"/>
      <name val="Cascadia Code"/>
      <family val="3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3" fillId="0" borderId="0" xfId="2" applyFont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3" fontId="3" fillId="6" borderId="0" xfId="0" applyNumberFormat="1" applyFont="1" applyFill="1" applyAlignment="1">
      <alignment horizontal="center" vertical="center"/>
    </xf>
    <xf numFmtId="43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164" fontId="3" fillId="3" borderId="0" xfId="1" applyNumberFormat="1" applyFont="1" applyFill="1" applyAlignment="1">
      <alignment horizontal="center" vertical="center"/>
    </xf>
    <xf numFmtId="164" fontId="3" fillId="7" borderId="0" xfId="1" applyNumberFormat="1" applyFont="1" applyFill="1" applyAlignment="1">
      <alignment horizontal="center" vertical="center"/>
    </xf>
    <xf numFmtId="164" fontId="3" fillId="8" borderId="0" xfId="1" applyNumberFormat="1" applyFont="1" applyFill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4" fontId="3" fillId="9" borderId="0" xfId="1" applyNumberFormat="1" applyFont="1" applyFill="1" applyAlignment="1">
      <alignment horizontal="center" vertical="center"/>
    </xf>
    <xf numFmtId="3" fontId="3" fillId="10" borderId="0" xfId="0" applyNumberFormat="1" applyFont="1" applyFill="1" applyAlignment="1">
      <alignment horizontal="center" vertical="center"/>
    </xf>
    <xf numFmtId="3" fontId="3" fillId="11" borderId="0" xfId="0" applyNumberFormat="1" applyFont="1" applyFill="1" applyAlignment="1">
      <alignment horizontal="center" vertical="center"/>
    </xf>
    <xf numFmtId="0" fontId="1" fillId="12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20" fontId="5" fillId="13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20" fontId="5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D585-EC18-456D-BCD6-5216C95C0E13}">
  <sheetPr codeName="Sheet1"/>
  <dimension ref="B2:I24"/>
  <sheetViews>
    <sheetView workbookViewId="0">
      <selection activeCell="F9" sqref="F9"/>
    </sheetView>
  </sheetViews>
  <sheetFormatPr defaultRowHeight="26.25" x14ac:dyDescent="0.25"/>
  <cols>
    <col min="1" max="1" width="2.7109375" style="1" customWidth="1"/>
    <col min="2" max="2" width="32.7109375" style="2" customWidth="1"/>
    <col min="3" max="3" width="15.7109375" style="1" customWidth="1"/>
    <col min="4" max="4" width="8.7109375" style="1" customWidth="1"/>
    <col min="5" max="5" width="2.7109375" style="1" customWidth="1"/>
    <col min="6" max="6" width="15.7109375" style="1" customWidth="1"/>
    <col min="7" max="7" width="8.7109375" style="1" customWidth="1"/>
    <col min="8" max="8" width="2.7109375" style="1" customWidth="1"/>
    <col min="9" max="9" width="8.7109375" style="5" customWidth="1"/>
    <col min="10" max="10" width="8.7109375" style="1" customWidth="1"/>
    <col min="11" max="16384" width="9.140625" style="1"/>
  </cols>
  <sheetData>
    <row r="2" spans="2:9" x14ac:dyDescent="0.25">
      <c r="B2" s="2" t="s">
        <v>15</v>
      </c>
      <c r="C2" s="16">
        <v>3049.18</v>
      </c>
      <c r="D2" s="1" t="s">
        <v>16</v>
      </c>
      <c r="F2" s="33" t="s">
        <v>54</v>
      </c>
      <c r="G2" s="32">
        <v>0.67291666666666672</v>
      </c>
      <c r="H2" s="34"/>
      <c r="I2" s="6" t="s">
        <v>17</v>
      </c>
    </row>
    <row r="3" spans="2:9" x14ac:dyDescent="0.25">
      <c r="B3" s="2" t="s">
        <v>18</v>
      </c>
      <c r="C3" s="17" cm="1">
        <f t="array" ref="C3">GetUSDIRRRate()</f>
        <v>1021800</v>
      </c>
      <c r="D3" s="1" t="s">
        <v>1</v>
      </c>
      <c r="F3" s="33" t="s">
        <v>54</v>
      </c>
      <c r="G3" s="32">
        <v>0.67304398148148148</v>
      </c>
      <c r="I3" s="6" t="s">
        <v>20</v>
      </c>
    </row>
    <row r="4" spans="2:9" x14ac:dyDescent="0.25">
      <c r="B4" s="2" t="s">
        <v>19</v>
      </c>
      <c r="C4" s="17">
        <f>C2*C3</f>
        <v>3115652124</v>
      </c>
      <c r="D4" s="1" t="s">
        <v>1</v>
      </c>
    </row>
    <row r="5" spans="2:9" x14ac:dyDescent="0.25">
      <c r="C5" s="17"/>
    </row>
    <row r="6" spans="2:9" x14ac:dyDescent="0.25">
      <c r="B6" s="2" t="s">
        <v>50</v>
      </c>
      <c r="C6" s="19" cm="1">
        <f t="array" ref="C6">OunceToGram()</f>
        <v>31.103476799999999</v>
      </c>
    </row>
    <row r="7" spans="2:9" x14ac:dyDescent="0.25">
      <c r="B7" s="2" t="s">
        <v>23</v>
      </c>
      <c r="C7" s="18">
        <f>750/1000</f>
        <v>0.75</v>
      </c>
    </row>
    <row r="8" spans="2:9" x14ac:dyDescent="0.25">
      <c r="C8" s="18"/>
    </row>
    <row r="9" spans="2:9" x14ac:dyDescent="0.25">
      <c r="B9" s="2" t="s">
        <v>21</v>
      </c>
      <c r="C9" s="24">
        <f>C4/C6</f>
        <v>100170541.83473147</v>
      </c>
      <c r="D9" s="1" t="s">
        <v>1</v>
      </c>
    </row>
    <row r="10" spans="2:9" x14ac:dyDescent="0.25">
      <c r="B10" s="2" t="s">
        <v>22</v>
      </c>
      <c r="C10" s="21">
        <f>C9*C7</f>
        <v>75127906.37604861</v>
      </c>
      <c r="D10" s="1" t="s">
        <v>1</v>
      </c>
    </row>
    <row r="11" spans="2:9" x14ac:dyDescent="0.25">
      <c r="C11" s="17"/>
    </row>
    <row r="12" spans="2:9" x14ac:dyDescent="0.25">
      <c r="B12" s="2" t="s">
        <v>24</v>
      </c>
      <c r="C12" s="20" cm="1">
        <f t="array" ref="C12">GetGoldIRRGram24()</f>
        <v>108189000</v>
      </c>
      <c r="D12" s="1" t="s">
        <v>1</v>
      </c>
      <c r="F12" s="33" t="s">
        <v>54</v>
      </c>
      <c r="G12" s="32">
        <v>0.67304398148148148</v>
      </c>
      <c r="I12" s="6" t="s">
        <v>4</v>
      </c>
    </row>
    <row r="13" spans="2:9" x14ac:dyDescent="0.25">
      <c r="B13" s="2" t="s">
        <v>25</v>
      </c>
      <c r="C13" s="22" cm="1">
        <f t="array" ref="C13">GetGoldIRRGram18()</f>
        <v>81142000</v>
      </c>
      <c r="D13" s="1" t="s">
        <v>1</v>
      </c>
      <c r="F13" s="33" t="s">
        <v>54</v>
      </c>
      <c r="G13" s="32">
        <v>0.67304398148148148</v>
      </c>
      <c r="I13" s="6" t="s">
        <v>28</v>
      </c>
    </row>
    <row r="14" spans="2:9" x14ac:dyDescent="0.25">
      <c r="C14" s="17"/>
    </row>
    <row r="15" spans="2:9" x14ac:dyDescent="0.25">
      <c r="B15" s="2" t="s">
        <v>26</v>
      </c>
      <c r="C15" s="23">
        <f>(C12-C9)/C9</f>
        <v>8.0048066211900415E-2</v>
      </c>
    </row>
    <row r="16" spans="2:9" x14ac:dyDescent="0.25">
      <c r="B16" s="2" t="s">
        <v>27</v>
      </c>
      <c r="C16" s="23">
        <f>(C13-C10)/C10</f>
        <v>8.0051393870184201E-2</v>
      </c>
    </row>
    <row r="17" spans="3:3" x14ac:dyDescent="0.25">
      <c r="C17" s="17"/>
    </row>
    <row r="18" spans="3:3" x14ac:dyDescent="0.25">
      <c r="C18" s="17"/>
    </row>
    <row r="19" spans="3:3" x14ac:dyDescent="0.25">
      <c r="C19" s="17"/>
    </row>
    <row r="20" spans="3:3" x14ac:dyDescent="0.25">
      <c r="C20" s="17"/>
    </row>
    <row r="21" spans="3:3" x14ac:dyDescent="0.25">
      <c r="C21" s="17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19"/>
  <sheetViews>
    <sheetView workbookViewId="0">
      <selection activeCell="C3" sqref="C3"/>
    </sheetView>
  </sheetViews>
  <sheetFormatPr defaultRowHeight="26.25" x14ac:dyDescent="0.25"/>
  <cols>
    <col min="1" max="1" width="2.7109375" style="1" customWidth="1"/>
    <col min="2" max="2" width="32.7109375" style="2" customWidth="1"/>
    <col min="3" max="4" width="15.7109375" style="1" customWidth="1"/>
    <col min="5" max="5" width="8.7109375" style="1" customWidth="1"/>
    <col min="6" max="6" width="2.7109375" style="1" customWidth="1"/>
    <col min="7" max="7" width="15.7109375" style="1" customWidth="1"/>
    <col min="8" max="8" width="8.7109375" style="1" customWidth="1"/>
    <col min="9" max="9" width="2.7109375" style="1" customWidth="1"/>
    <col min="10" max="10" width="8.7109375" style="5" customWidth="1"/>
    <col min="11" max="16" width="8.7109375" style="1" customWidth="1"/>
    <col min="17" max="17" width="8.7109375" style="31" customWidth="1"/>
    <col min="18" max="22" width="8.7109375" style="1" customWidth="1"/>
    <col min="23" max="16384" width="9.140625" style="1"/>
  </cols>
  <sheetData>
    <row r="2" spans="2:17" x14ac:dyDescent="0.25">
      <c r="B2" s="2" t="s">
        <v>0</v>
      </c>
      <c r="C2" s="3">
        <v>24</v>
      </c>
      <c r="D2" s="3">
        <v>18</v>
      </c>
    </row>
    <row r="3" spans="2:17" x14ac:dyDescent="0.25">
      <c r="B3" s="2" t="s">
        <v>8</v>
      </c>
      <c r="C3" s="4">
        <f>PriceBubble!C12</f>
        <v>108189000</v>
      </c>
      <c r="D3" s="4">
        <f>PriceBubble!C13</f>
        <v>81142000</v>
      </c>
      <c r="E3" s="1" t="s">
        <v>1</v>
      </c>
      <c r="G3" s="33" t="s">
        <v>54</v>
      </c>
      <c r="H3" s="32">
        <v>0.67291666666666672</v>
      </c>
      <c r="J3" s="6" t="s">
        <v>4</v>
      </c>
      <c r="Q3" s="31" t="s">
        <v>37</v>
      </c>
    </row>
    <row r="4" spans="2:17" x14ac:dyDescent="0.25">
      <c r="B4" s="2" t="s">
        <v>2</v>
      </c>
      <c r="C4" s="3">
        <v>0.5</v>
      </c>
      <c r="D4" s="3"/>
      <c r="E4" s="1" t="s">
        <v>3</v>
      </c>
      <c r="J4" s="5" t="s">
        <v>9</v>
      </c>
      <c r="Q4" s="31" t="s">
        <v>38</v>
      </c>
    </row>
    <row r="5" spans="2:17" x14ac:dyDescent="0.25">
      <c r="B5" s="8" t="s">
        <v>5</v>
      </c>
      <c r="C5" s="10">
        <f>C3*C4</f>
        <v>54094500</v>
      </c>
      <c r="D5" s="10"/>
      <c r="E5" s="9" t="s">
        <v>1</v>
      </c>
      <c r="Q5" s="31" t="s">
        <v>42</v>
      </c>
    </row>
    <row r="6" spans="2:17" x14ac:dyDescent="0.25">
      <c r="C6" s="3"/>
      <c r="D6" s="3"/>
    </row>
    <row r="7" spans="2:17" x14ac:dyDescent="0.25">
      <c r="B7" s="2" t="s">
        <v>6</v>
      </c>
      <c r="C7" s="7">
        <v>7.0000000000000007E-2</v>
      </c>
      <c r="D7" s="7"/>
      <c r="J7" s="5" t="s">
        <v>12</v>
      </c>
      <c r="Q7" s="31" t="s">
        <v>40</v>
      </c>
    </row>
    <row r="8" spans="2:17" x14ac:dyDescent="0.25">
      <c r="B8" s="13" t="s">
        <v>7</v>
      </c>
      <c r="C8" s="15">
        <f>C5*C7</f>
        <v>3786615.0000000005</v>
      </c>
      <c r="D8" s="15"/>
      <c r="E8" s="14" t="s">
        <v>1</v>
      </c>
      <c r="Q8" s="31" t="s">
        <v>39</v>
      </c>
    </row>
    <row r="9" spans="2:17" x14ac:dyDescent="0.25">
      <c r="C9" s="3"/>
      <c r="D9" s="3"/>
    </row>
    <row r="10" spans="2:17" x14ac:dyDescent="0.25">
      <c r="B10" s="2" t="s">
        <v>10</v>
      </c>
      <c r="C10" s="7">
        <v>0.02</v>
      </c>
      <c r="D10" s="7"/>
      <c r="Q10" s="31" t="s">
        <v>43</v>
      </c>
    </row>
    <row r="11" spans="2:17" x14ac:dyDescent="0.25">
      <c r="B11" s="11" t="s">
        <v>11</v>
      </c>
      <c r="C11" s="25">
        <f>C10*C5</f>
        <v>1081890</v>
      </c>
      <c r="D11" s="25"/>
      <c r="E11" s="12" t="s">
        <v>1</v>
      </c>
      <c r="Q11" s="31" t="s">
        <v>44</v>
      </c>
    </row>
    <row r="12" spans="2:17" x14ac:dyDescent="0.25">
      <c r="C12" s="3"/>
      <c r="D12" s="3"/>
    </row>
    <row r="13" spans="2:17" x14ac:dyDescent="0.25">
      <c r="B13" s="2" t="s">
        <v>13</v>
      </c>
      <c r="C13" s="7">
        <v>0.09</v>
      </c>
      <c r="D13" s="7"/>
      <c r="Q13" s="31" t="s">
        <v>41</v>
      </c>
    </row>
    <row r="14" spans="2:17" x14ac:dyDescent="0.25">
      <c r="B14" s="13" t="s">
        <v>14</v>
      </c>
      <c r="C14" s="15">
        <f>(C8+C11)*C13</f>
        <v>438165.45</v>
      </c>
      <c r="D14" s="15"/>
      <c r="E14" s="14" t="s">
        <v>1</v>
      </c>
      <c r="Q14" s="31" t="s">
        <v>45</v>
      </c>
    </row>
    <row r="15" spans="2:17" x14ac:dyDescent="0.25">
      <c r="C15" s="3"/>
      <c r="D15" s="3"/>
    </row>
    <row r="16" spans="2:17" x14ac:dyDescent="0.25">
      <c r="B16" s="27" t="s">
        <v>29</v>
      </c>
      <c r="C16" s="26">
        <f>C5+C8+C11+C14</f>
        <v>59401170.450000003</v>
      </c>
      <c r="D16" s="26"/>
      <c r="E16" s="28" t="s">
        <v>1</v>
      </c>
      <c r="Q16" s="31" t="s">
        <v>46</v>
      </c>
    </row>
    <row r="17" spans="3:4" x14ac:dyDescent="0.25">
      <c r="C17" s="3"/>
      <c r="D17" s="3"/>
    </row>
    <row r="18" spans="3:4" x14ac:dyDescent="0.25">
      <c r="C18" s="3"/>
      <c r="D18" s="3"/>
    </row>
    <row r="19" spans="3:4" x14ac:dyDescent="0.25">
      <c r="C19" s="3"/>
      <c r="D19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1985-FBFE-4F00-99D8-6AC4B74F4AE6}">
  <sheetPr codeName="Sheet3"/>
  <dimension ref="B1:H14"/>
  <sheetViews>
    <sheetView workbookViewId="0">
      <selection activeCell="D3" sqref="D3:D12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31</v>
      </c>
      <c r="C3" s="3">
        <v>0.5</v>
      </c>
      <c r="D3" s="4" cm="1">
        <f t="array" ref="D3">ROUNDUP(CalcBasePrice(C3)/10, -3)</f>
        <v>5941000</v>
      </c>
      <c r="E3" s="4"/>
      <c r="F3" s="4">
        <v>6215000</v>
      </c>
      <c r="G3" s="4">
        <f>F3-D3</f>
        <v>274000</v>
      </c>
      <c r="H3" s="23">
        <f>(F3-D3)/D3</f>
        <v>4.6120181787577846E-2</v>
      </c>
    </row>
    <row r="4" spans="2:8" x14ac:dyDescent="0.25">
      <c r="B4" s="1" t="s">
        <v>31</v>
      </c>
      <c r="C4" s="3">
        <v>1</v>
      </c>
      <c r="D4" s="4" cm="1">
        <f t="array" ref="D4">ROUNDUP(CalcBasePrice(C4)/10, -3)</f>
        <v>11881000</v>
      </c>
      <c r="E4" s="4"/>
      <c r="F4" s="4">
        <v>12163000</v>
      </c>
      <c r="G4" s="4">
        <f>F4-D4</f>
        <v>282000</v>
      </c>
      <c r="H4" s="23">
        <f>(F4-D4)/D4</f>
        <v>2.3735375810116994E-2</v>
      </c>
    </row>
    <row r="5" spans="2:8" x14ac:dyDescent="0.25">
      <c r="B5" s="1" t="s">
        <v>31</v>
      </c>
      <c r="C5" s="3">
        <v>2.5</v>
      </c>
      <c r="D5" s="4" cm="1">
        <f t="array" ref="D5">ROUNDUP(CalcBasePrice(C5)/10, -3)</f>
        <v>29701000</v>
      </c>
      <c r="E5" s="4"/>
      <c r="F5" s="4">
        <v>29913000</v>
      </c>
      <c r="G5" s="4">
        <f t="shared" ref="G5:G12" si="0">F5-D5</f>
        <v>212000</v>
      </c>
      <c r="H5" s="23">
        <f t="shared" ref="H5:H12" si="1">(F5-D5)/D5</f>
        <v>7.1378068078515877E-3</v>
      </c>
    </row>
    <row r="6" spans="2:8" x14ac:dyDescent="0.25">
      <c r="B6" s="1" t="s">
        <v>31</v>
      </c>
      <c r="C6" s="3">
        <v>5</v>
      </c>
      <c r="D6" s="4" cm="1">
        <f t="array" ref="D6">ROUNDUP(CalcBasePrice(C6)/10, -3)</f>
        <v>59402000</v>
      </c>
      <c r="E6" s="4"/>
      <c r="F6" s="4">
        <v>59054000</v>
      </c>
      <c r="G6" s="4">
        <f t="shared" si="0"/>
        <v>-348000</v>
      </c>
      <c r="H6" s="23">
        <f t="shared" si="1"/>
        <v>-5.8583886064442273E-3</v>
      </c>
    </row>
    <row r="7" spans="2:8" x14ac:dyDescent="0.25">
      <c r="B7" s="1" t="s">
        <v>31</v>
      </c>
      <c r="C7" s="3">
        <v>10</v>
      </c>
      <c r="D7" s="4" cm="1">
        <f t="array" ref="D7">ROUNDUP(CalcBasePrice(C7)/10, -3)</f>
        <v>118803000</v>
      </c>
      <c r="E7" s="4"/>
      <c r="F7" s="4">
        <v>116683000</v>
      </c>
      <c r="G7" s="4">
        <f t="shared" si="0"/>
        <v>-2120000</v>
      </c>
      <c r="H7" s="23">
        <f t="shared" si="1"/>
        <v>-1.7844667222208194E-2</v>
      </c>
    </row>
    <row r="8" spans="2:8" x14ac:dyDescent="0.25">
      <c r="B8" s="1" t="s">
        <v>31</v>
      </c>
      <c r="C8" s="3">
        <v>20</v>
      </c>
      <c r="D8" s="4" cm="1">
        <f t="array" ref="D8">ROUNDUP(CalcBasePrice(C8)/10, -3)</f>
        <v>237605000</v>
      </c>
      <c r="E8" s="4"/>
      <c r="F8" s="4">
        <v>230001000</v>
      </c>
      <c r="G8" s="4">
        <f t="shared" si="0"/>
        <v>-7604000</v>
      </c>
      <c r="H8" s="23">
        <f t="shared" si="1"/>
        <v>-3.2002693546011235E-2</v>
      </c>
    </row>
    <row r="9" spans="2:8" x14ac:dyDescent="0.25">
      <c r="B9" s="1" t="s">
        <v>31</v>
      </c>
      <c r="C9" s="3">
        <v>31.1</v>
      </c>
      <c r="D9" s="4" cm="1">
        <f t="array" ref="D9">ROUNDUP(CalcBasePrice(C9)/10, -3)</f>
        <v>369476000</v>
      </c>
      <c r="E9" s="4"/>
      <c r="F9" s="4">
        <v>353396000</v>
      </c>
      <c r="G9" s="4">
        <f t="shared" si="0"/>
        <v>-16080000</v>
      </c>
      <c r="H9" s="23">
        <f t="shared" si="1"/>
        <v>-4.3521094739577132E-2</v>
      </c>
    </row>
    <row r="10" spans="2:8" x14ac:dyDescent="0.25">
      <c r="B10" s="1" t="s">
        <v>31</v>
      </c>
      <c r="C10" s="3">
        <v>100</v>
      </c>
      <c r="D10" s="4" cm="1">
        <f t="array" ref="D10">ROUNDUP(CalcBasePrice(C10)/10, -3)</f>
        <v>1188024000</v>
      </c>
      <c r="E10" s="4"/>
      <c r="F10" s="4">
        <v>1128229000</v>
      </c>
      <c r="G10" s="4">
        <f t="shared" si="0"/>
        <v>-59795000</v>
      </c>
      <c r="H10" s="23">
        <f t="shared" si="1"/>
        <v>-5.0331474785021181E-2</v>
      </c>
    </row>
    <row r="11" spans="2:8" x14ac:dyDescent="0.25">
      <c r="B11" s="1" t="s">
        <v>31</v>
      </c>
      <c r="C11" s="3">
        <v>250</v>
      </c>
      <c r="D11" s="4" cm="1">
        <f t="array" ref="D11">ROUNDUP(CalcBasePrice(C11)/10, -3)</f>
        <v>2970059000</v>
      </c>
      <c r="E11" s="4"/>
      <c r="F11" s="4">
        <v>2789645000</v>
      </c>
      <c r="G11" s="4">
        <f t="shared" si="0"/>
        <v>-180414000</v>
      </c>
      <c r="H11" s="23">
        <f t="shared" si="1"/>
        <v>-6.0744247841541192E-2</v>
      </c>
    </row>
    <row r="12" spans="2:8" x14ac:dyDescent="0.25">
      <c r="B12" s="1" t="s">
        <v>31</v>
      </c>
      <c r="C12" s="3">
        <v>500</v>
      </c>
      <c r="D12" s="4" cm="1">
        <f t="array" ref="D12">ROUNDUP(CalcBasePrice(C12)/10, -3)</f>
        <v>5940118000</v>
      </c>
      <c r="E12" s="4"/>
      <c r="F12" s="4">
        <v>5537227000</v>
      </c>
      <c r="G12" s="4">
        <f t="shared" si="0"/>
        <v>-402891000</v>
      </c>
      <c r="H12" s="23">
        <f t="shared" si="1"/>
        <v>-6.7825420303098349E-2</v>
      </c>
    </row>
    <row r="13" spans="2:8" x14ac:dyDescent="0.25">
      <c r="C13" s="3"/>
      <c r="F13" s="4"/>
      <c r="G13" s="4"/>
    </row>
    <row r="14" spans="2:8" x14ac:dyDescent="0.25">
      <c r="C14" s="3"/>
    </row>
  </sheetData>
  <conditionalFormatting sqref="G3:G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483BC-608D-421F-A363-EA0E6BC6B255}">
  <sheetPr codeName="Sheet4"/>
  <dimension ref="B1:H17"/>
  <sheetViews>
    <sheetView workbookViewId="0">
      <selection activeCell="D3" sqref="D3:D17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47</v>
      </c>
      <c r="C3" s="3">
        <v>0.05</v>
      </c>
      <c r="D3" s="4" cm="1">
        <f t="array" ref="D3">ROUNDUP(CalcBasePrice(C3)/10, -3)</f>
        <v>595000</v>
      </c>
      <c r="E3" s="4"/>
      <c r="F3" s="4">
        <v>700000</v>
      </c>
      <c r="G3" s="4">
        <f>F3-D3</f>
        <v>105000</v>
      </c>
      <c r="H3" s="23">
        <f>(F3-D3)/D3</f>
        <v>0.17647058823529413</v>
      </c>
    </row>
    <row r="4" spans="2:8" x14ac:dyDescent="0.25">
      <c r="B4" s="1" t="s">
        <v>47</v>
      </c>
      <c r="C4" s="3">
        <v>0.1</v>
      </c>
      <c r="D4" s="4" cm="1">
        <f t="array" ref="D4">ROUNDUP(CalcBasePrice(C4)/10, -3)</f>
        <v>1189000</v>
      </c>
      <c r="E4" s="4"/>
      <c r="F4" s="4">
        <v>1240000</v>
      </c>
      <c r="G4" s="4">
        <f t="shared" ref="G4:G17" si="0">F4-D4</f>
        <v>51000</v>
      </c>
      <c r="H4" s="23">
        <f t="shared" ref="H4:H17" si="1">(F4-D4)/D4</f>
        <v>4.289318755256518E-2</v>
      </c>
    </row>
    <row r="5" spans="2:8" x14ac:dyDescent="0.25">
      <c r="B5" s="1" t="s">
        <v>47</v>
      </c>
      <c r="C5" s="3">
        <v>0.15</v>
      </c>
      <c r="D5" s="4" cm="1">
        <f t="array" ref="D5">ROUNDUP(CalcBasePrice(C5)/10, -3)</f>
        <v>1783000</v>
      </c>
      <c r="E5" s="4"/>
      <c r="F5" s="4">
        <v>1790000</v>
      </c>
      <c r="G5" s="4">
        <f t="shared" si="0"/>
        <v>7000</v>
      </c>
      <c r="H5" s="23">
        <f t="shared" si="1"/>
        <v>3.9259674705552439E-3</v>
      </c>
    </row>
    <row r="6" spans="2:8" x14ac:dyDescent="0.25">
      <c r="B6" s="1" t="s">
        <v>47</v>
      </c>
      <c r="C6" s="3">
        <v>0.2</v>
      </c>
      <c r="D6" s="4" cm="1">
        <f t="array" ref="D6">ROUNDUP(CalcBasePrice(C6)/10, -3)</f>
        <v>2377000</v>
      </c>
      <c r="E6" s="4"/>
      <c r="F6" s="4">
        <v>2340000</v>
      </c>
      <c r="G6" s="4">
        <f t="shared" si="0"/>
        <v>-37000</v>
      </c>
      <c r="H6" s="23">
        <f t="shared" si="1"/>
        <v>-1.5565839293226757E-2</v>
      </c>
    </row>
    <row r="7" spans="2:8" x14ac:dyDescent="0.25">
      <c r="B7" s="1" t="s">
        <v>47</v>
      </c>
      <c r="C7" s="3">
        <v>0.25</v>
      </c>
      <c r="D7" s="4" cm="1">
        <f t="array" ref="D7">ROUNDUP(CalcBasePrice(C7)/10, -3)</f>
        <v>2971000</v>
      </c>
      <c r="E7" s="4"/>
      <c r="F7" s="4">
        <v>2890000</v>
      </c>
      <c r="G7" s="4">
        <f t="shared" si="0"/>
        <v>-81000</v>
      </c>
      <c r="H7" s="23">
        <f t="shared" si="1"/>
        <v>-2.7263547627061596E-2</v>
      </c>
    </row>
    <row r="8" spans="2:8" x14ac:dyDescent="0.25">
      <c r="B8" s="1" t="s">
        <v>47</v>
      </c>
      <c r="C8" s="3">
        <v>0.3</v>
      </c>
      <c r="D8" s="4" cm="1">
        <f t="array" ref="D8">ROUNDUP(CalcBasePrice(C8)/10, -3)</f>
        <v>3565000</v>
      </c>
      <c r="E8" s="4"/>
      <c r="F8" s="4">
        <v>3440000</v>
      </c>
      <c r="G8" s="4">
        <f t="shared" si="0"/>
        <v>-125000</v>
      </c>
      <c r="H8" s="23">
        <f t="shared" si="1"/>
        <v>-3.5063113604488078E-2</v>
      </c>
    </row>
    <row r="9" spans="2:8" x14ac:dyDescent="0.25">
      <c r="B9" s="1" t="s">
        <v>47</v>
      </c>
      <c r="C9" s="3">
        <v>0.35</v>
      </c>
      <c r="D9" s="4" cm="1">
        <f t="array" ref="D9">ROUNDUP(CalcBasePrice(C9)/10, -3)</f>
        <v>4159000</v>
      </c>
      <c r="E9" s="4"/>
      <c r="F9" s="4">
        <v>4000000</v>
      </c>
      <c r="G9" s="4">
        <f t="shared" si="0"/>
        <v>-159000</v>
      </c>
      <c r="H9" s="23">
        <f t="shared" si="1"/>
        <v>-3.8230343832652079E-2</v>
      </c>
    </row>
    <row r="10" spans="2:8" x14ac:dyDescent="0.25">
      <c r="B10" s="1" t="s">
        <v>47</v>
      </c>
      <c r="C10" s="3">
        <v>0.4</v>
      </c>
      <c r="D10" s="4" cm="1">
        <f t="array" ref="D10">ROUNDUP(CalcBasePrice(C10)/10, -3)</f>
        <v>4753000</v>
      </c>
      <c r="E10" s="4"/>
      <c r="F10" s="4">
        <v>4530000</v>
      </c>
      <c r="G10" s="4">
        <f t="shared" si="0"/>
        <v>-223000</v>
      </c>
      <c r="H10" s="23">
        <f t="shared" si="1"/>
        <v>-4.6917736166631599E-2</v>
      </c>
    </row>
    <row r="11" spans="2:8" x14ac:dyDescent="0.25">
      <c r="B11" s="1" t="s">
        <v>47</v>
      </c>
      <c r="C11" s="3">
        <v>0.5</v>
      </c>
      <c r="D11" s="4" cm="1">
        <f t="array" ref="D11">ROUNDUP(CalcBasePrice(C11)/10, -3)</f>
        <v>5941000</v>
      </c>
      <c r="E11" s="4"/>
      <c r="F11" s="4">
        <v>5640000</v>
      </c>
      <c r="G11" s="4">
        <f t="shared" si="0"/>
        <v>-301000</v>
      </c>
      <c r="H11" s="23">
        <f t="shared" si="1"/>
        <v>-5.0664871233799022E-2</v>
      </c>
    </row>
    <row r="12" spans="2:8" x14ac:dyDescent="0.25">
      <c r="B12" s="1" t="s">
        <v>47</v>
      </c>
      <c r="C12" s="3">
        <v>0.6</v>
      </c>
      <c r="D12" s="4" cm="1">
        <f t="array" ref="D12">ROUNDUP(CalcBasePrice(C12)/10, -3)</f>
        <v>7129000</v>
      </c>
      <c r="E12" s="4"/>
      <c r="F12" s="4">
        <v>6740000</v>
      </c>
      <c r="G12" s="4">
        <f t="shared" si="0"/>
        <v>-389000</v>
      </c>
      <c r="H12" s="23">
        <f t="shared" si="1"/>
        <v>-5.4565857764062281E-2</v>
      </c>
    </row>
    <row r="13" spans="2:8" x14ac:dyDescent="0.25">
      <c r="B13" s="1" t="s">
        <v>47</v>
      </c>
      <c r="C13" s="3">
        <v>0.7</v>
      </c>
      <c r="D13" s="4" cm="1">
        <f t="array" ref="D13">ROUNDUP(CalcBasePrice(C13)/10, -3)</f>
        <v>8317000</v>
      </c>
      <c r="F13" s="4">
        <v>7850000</v>
      </c>
      <c r="G13" s="4">
        <f t="shared" si="0"/>
        <v>-467000</v>
      </c>
      <c r="H13" s="23">
        <f t="shared" si="1"/>
        <v>-5.6150054106047856E-2</v>
      </c>
    </row>
    <row r="14" spans="2:8" x14ac:dyDescent="0.25">
      <c r="B14" s="1" t="s">
        <v>47</v>
      </c>
      <c r="C14" s="3">
        <v>0.75</v>
      </c>
      <c r="D14" s="4" cm="1">
        <f t="array" ref="D14">ROUNDUP(CalcBasePrice(C14)/10, -3)</f>
        <v>8911000</v>
      </c>
      <c r="F14" s="4">
        <v>8380000</v>
      </c>
      <c r="G14" s="4">
        <f t="shared" si="0"/>
        <v>-531000</v>
      </c>
      <c r="H14" s="23">
        <f t="shared" si="1"/>
        <v>-5.9589271686679386E-2</v>
      </c>
    </row>
    <row r="15" spans="2:8" x14ac:dyDescent="0.25">
      <c r="B15" s="1" t="s">
        <v>47</v>
      </c>
      <c r="C15" s="3">
        <v>0.8</v>
      </c>
      <c r="D15" s="4" cm="1">
        <f t="array" ref="D15">ROUNDUP(CalcBasePrice(C15)/10, -3)</f>
        <v>9505000</v>
      </c>
      <c r="F15" s="4">
        <v>8960000</v>
      </c>
      <c r="G15" s="4">
        <f t="shared" si="0"/>
        <v>-545000</v>
      </c>
      <c r="H15" s="23">
        <f t="shared" si="1"/>
        <v>-5.7338243029984221E-2</v>
      </c>
    </row>
    <row r="16" spans="2:8" x14ac:dyDescent="0.25">
      <c r="B16" s="1" t="s">
        <v>47</v>
      </c>
      <c r="C16" s="3">
        <v>0.9</v>
      </c>
      <c r="D16" s="4" cm="1">
        <f t="array" ref="D16">ROUNDUP(CalcBasePrice(C16)/10, -3)</f>
        <v>10693000</v>
      </c>
      <c r="F16" s="4">
        <v>10040000</v>
      </c>
      <c r="G16" s="4">
        <f t="shared" si="0"/>
        <v>-653000</v>
      </c>
      <c r="H16" s="23">
        <f t="shared" si="1"/>
        <v>-6.1067988403628544E-2</v>
      </c>
    </row>
    <row r="17" spans="2:8" x14ac:dyDescent="0.25">
      <c r="B17" s="1" t="s">
        <v>47</v>
      </c>
      <c r="C17" s="3">
        <v>1</v>
      </c>
      <c r="D17" s="4" cm="1">
        <f t="array" ref="D17">ROUNDUP(CalcBasePrice(C17)/10, -3)</f>
        <v>11881000</v>
      </c>
      <c r="F17" s="4">
        <v>11100000</v>
      </c>
      <c r="G17" s="4">
        <f t="shared" si="0"/>
        <v>-781000</v>
      </c>
      <c r="H17" s="23">
        <f t="shared" si="1"/>
        <v>-6.5735207474118346E-2</v>
      </c>
    </row>
  </sheetData>
  <conditionalFormatting sqref="G3:G17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A9EAF-9382-48FF-AD70-B6701E5CAE7A}">
  <sheetPr codeName="Sheet5"/>
  <dimension ref="B1:I11"/>
  <sheetViews>
    <sheetView workbookViewId="0">
      <selection activeCell="E3" sqref="E3:E11"/>
    </sheetView>
  </sheetViews>
  <sheetFormatPr defaultRowHeight="26.25" x14ac:dyDescent="0.25"/>
  <cols>
    <col min="1" max="1" width="2.7109375" style="1" customWidth="1"/>
    <col min="2" max="2" width="18.7109375" style="1" customWidth="1"/>
    <col min="3" max="4" width="8.7109375" style="1" customWidth="1"/>
    <col min="5" max="5" width="15.7109375" style="1" customWidth="1"/>
    <col min="6" max="6" width="2.7109375" style="1" customWidth="1"/>
    <col min="7" max="8" width="15.7109375" style="1" customWidth="1"/>
    <col min="9" max="9" width="12.7109375" style="1" customWidth="1"/>
    <col min="10" max="16384" width="9.140625" style="1"/>
  </cols>
  <sheetData>
    <row r="1" spans="2:9" ht="56.1" customHeight="1" x14ac:dyDescent="0.25">
      <c r="B1" s="29" t="s">
        <v>30</v>
      </c>
      <c r="C1" s="29" t="s">
        <v>49</v>
      </c>
      <c r="D1" s="30" t="s">
        <v>32</v>
      </c>
      <c r="E1" s="30" t="s">
        <v>33</v>
      </c>
      <c r="F1" s="30"/>
      <c r="G1" s="30" t="s">
        <v>34</v>
      </c>
      <c r="H1" s="30" t="s">
        <v>35</v>
      </c>
      <c r="I1" s="29" t="s">
        <v>36</v>
      </c>
    </row>
    <row r="3" spans="2:9" x14ac:dyDescent="0.25">
      <c r="B3" s="1" t="s">
        <v>48</v>
      </c>
      <c r="C3" s="3"/>
      <c r="D3" s="3">
        <v>1</v>
      </c>
      <c r="E3" s="4" cm="1">
        <f t="array" ref="E3">ROUNDUP(CalcBasePrice(D3)/10, -3)</f>
        <v>11881000</v>
      </c>
      <c r="F3" s="4"/>
      <c r="G3" s="4">
        <v>12230000</v>
      </c>
      <c r="H3" s="4">
        <f>G3-E3</f>
        <v>349000</v>
      </c>
      <c r="I3" s="23">
        <f>(G3-E3)/E3</f>
        <v>2.9374631765002945E-2</v>
      </c>
    </row>
    <row r="4" spans="2:9" x14ac:dyDescent="0.25">
      <c r="B4" s="1" t="s">
        <v>48</v>
      </c>
      <c r="C4" s="3"/>
      <c r="D4" s="3">
        <v>2.5</v>
      </c>
      <c r="E4" s="4" cm="1">
        <f t="array" ref="E4">ROUNDUP(CalcBasePrice(D4)/10, -3)</f>
        <v>29701000</v>
      </c>
      <c r="F4" s="4"/>
      <c r="G4" s="4">
        <v>30020000</v>
      </c>
      <c r="H4" s="4">
        <f t="shared" ref="H4:H11" si="0">G4-E4</f>
        <v>319000</v>
      </c>
      <c r="I4" s="23">
        <f t="shared" ref="I4:I11" si="1">(G4-E4)/E4</f>
        <v>1.0740379111814417E-2</v>
      </c>
    </row>
    <row r="5" spans="2:9" x14ac:dyDescent="0.25">
      <c r="B5" s="1" t="s">
        <v>48</v>
      </c>
      <c r="C5" s="3"/>
      <c r="D5" s="3">
        <v>5</v>
      </c>
      <c r="E5" s="4" cm="1">
        <f t="array" ref="E5">ROUNDUP(CalcBasePrice(D5)/10, -3)</f>
        <v>59402000</v>
      </c>
      <c r="F5" s="4"/>
      <c r="G5" s="4">
        <v>60040000</v>
      </c>
      <c r="H5" s="4">
        <f t="shared" si="0"/>
        <v>638000</v>
      </c>
      <c r="I5" s="23">
        <f t="shared" si="1"/>
        <v>1.0740379111814417E-2</v>
      </c>
    </row>
    <row r="6" spans="2:9" x14ac:dyDescent="0.25">
      <c r="B6" s="1" t="s">
        <v>48</v>
      </c>
      <c r="C6" s="3"/>
      <c r="D6" s="3">
        <v>10</v>
      </c>
      <c r="E6" s="4" cm="1">
        <f t="array" ref="E6">ROUNDUP(CalcBasePrice(D6)/10, -3)</f>
        <v>118803000</v>
      </c>
      <c r="F6" s="4"/>
      <c r="G6" s="4">
        <v>116830000</v>
      </c>
      <c r="H6" s="4">
        <f t="shared" si="0"/>
        <v>-1973000</v>
      </c>
      <c r="I6" s="23">
        <f t="shared" si="1"/>
        <v>-1.6607324730856965E-2</v>
      </c>
    </row>
    <row r="7" spans="2:9" x14ac:dyDescent="0.25">
      <c r="B7" s="1" t="s">
        <v>48</v>
      </c>
      <c r="C7" s="3">
        <v>0.5</v>
      </c>
      <c r="D7" s="3" cm="1">
        <f t="array" ref="D7">GetGramsByOunce(C7)</f>
        <v>15.5517384</v>
      </c>
      <c r="E7" s="4" cm="1">
        <f t="array" ref="E7">ROUNDUP(CalcBasePrice(D7)/10, -3)</f>
        <v>184759000</v>
      </c>
      <c r="F7" s="4"/>
      <c r="G7" s="4">
        <v>179980000</v>
      </c>
      <c r="H7" s="4">
        <f t="shared" si="0"/>
        <v>-4779000</v>
      </c>
      <c r="I7" s="23">
        <f t="shared" si="1"/>
        <v>-2.5866128307687312E-2</v>
      </c>
    </row>
    <row r="8" spans="2:9" x14ac:dyDescent="0.25">
      <c r="B8" s="1" t="s">
        <v>48</v>
      </c>
      <c r="C8" s="3"/>
      <c r="D8" s="3">
        <v>20</v>
      </c>
      <c r="E8" s="4" cm="1">
        <f t="array" ref="E8">ROUNDUP(CalcBasePrice(D8)/10, -3)</f>
        <v>237605000</v>
      </c>
      <c r="F8" s="4"/>
      <c r="G8" s="4">
        <v>229320000</v>
      </c>
      <c r="H8" s="4">
        <f t="shared" si="0"/>
        <v>-8285000</v>
      </c>
      <c r="I8" s="23">
        <f t="shared" si="1"/>
        <v>-3.4868794848593253E-2</v>
      </c>
    </row>
    <row r="9" spans="2:9" x14ac:dyDescent="0.25">
      <c r="B9" s="1" t="s">
        <v>48</v>
      </c>
      <c r="C9" s="3">
        <v>1</v>
      </c>
      <c r="D9" s="3" cm="1">
        <f t="array" ref="D9">GetGramsByOunce(C9)</f>
        <v>31.103476799999999</v>
      </c>
      <c r="E9" s="4" cm="1">
        <f t="array" ref="E9">ROUNDUP(CalcBasePrice(D9)/10, -3)</f>
        <v>369517000</v>
      </c>
      <c r="F9" s="4"/>
      <c r="G9" s="4">
        <v>351550000</v>
      </c>
      <c r="H9" s="4">
        <f t="shared" si="0"/>
        <v>-17967000</v>
      </c>
      <c r="I9" s="23">
        <f t="shared" si="1"/>
        <v>-4.8622932097846648E-2</v>
      </c>
    </row>
    <row r="10" spans="2:9" x14ac:dyDescent="0.25">
      <c r="B10" s="1" t="s">
        <v>48</v>
      </c>
      <c r="C10" s="3"/>
      <c r="D10" s="3">
        <v>50</v>
      </c>
      <c r="E10" s="4" cm="1">
        <f t="array" ref="E10">ROUNDUP(CalcBasePrice(D10)/10, -3)</f>
        <v>594012000</v>
      </c>
      <c r="F10" s="4"/>
      <c r="G10" s="4">
        <v>564650000</v>
      </c>
      <c r="H10" s="4">
        <f t="shared" si="0"/>
        <v>-29362000</v>
      </c>
      <c r="I10" s="23">
        <f t="shared" si="1"/>
        <v>-4.9429977845565409E-2</v>
      </c>
    </row>
    <row r="11" spans="2:9" x14ac:dyDescent="0.25">
      <c r="B11" s="1" t="s">
        <v>48</v>
      </c>
      <c r="C11" s="3"/>
      <c r="D11" s="3">
        <v>100</v>
      </c>
      <c r="E11" s="4" cm="1">
        <f t="array" ref="E11">ROUNDUP(CalcBasePrice(D11)/10, -3)</f>
        <v>1188024000</v>
      </c>
      <c r="F11" s="4"/>
      <c r="G11" s="4">
        <v>1128210000</v>
      </c>
      <c r="H11" s="4">
        <f t="shared" si="0"/>
        <v>-59814000</v>
      </c>
      <c r="I11" s="23">
        <f t="shared" si="1"/>
        <v>-5.0347467727924686E-2</v>
      </c>
    </row>
  </sheetData>
  <conditionalFormatting sqref="H3:H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11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BE77-848B-4689-8105-65EA485B682E}">
  <sheetPr codeName="Sheet7"/>
  <dimension ref="B1:G19"/>
  <sheetViews>
    <sheetView workbookViewId="0">
      <selection activeCell="E4" sqref="E4"/>
    </sheetView>
  </sheetViews>
  <sheetFormatPr defaultRowHeight="26.25" x14ac:dyDescent="0.25"/>
  <cols>
    <col min="1" max="1" width="2.7109375" style="1" customWidth="1"/>
    <col min="2" max="2" width="12.7109375" style="1" customWidth="1"/>
    <col min="3" max="3" width="15.7109375" style="1" customWidth="1"/>
    <col min="4" max="4" width="2.7109375" style="1" customWidth="1"/>
    <col min="5" max="7" width="15.7109375" style="1" customWidth="1"/>
    <col min="8" max="8" width="2.7109375" style="1" customWidth="1"/>
    <col min="9" max="12" width="8.7109375" style="1" customWidth="1"/>
    <col min="13" max="16384" width="9.140625" style="1"/>
  </cols>
  <sheetData>
    <row r="1" spans="2:7" ht="56.1" customHeight="1" x14ac:dyDescent="0.25">
      <c r="B1" s="30" t="s">
        <v>32</v>
      </c>
      <c r="C1" s="30" t="s">
        <v>33</v>
      </c>
      <c r="E1" s="29" t="s">
        <v>31</v>
      </c>
      <c r="F1" s="29" t="s">
        <v>47</v>
      </c>
      <c r="G1" s="29" t="s">
        <v>48</v>
      </c>
    </row>
    <row r="2" spans="2:7" x14ac:dyDescent="0.25">
      <c r="E2" s="35" t="s">
        <v>51</v>
      </c>
      <c r="F2" s="35"/>
      <c r="G2" s="35"/>
    </row>
    <row r="4" spans="2:7" x14ac:dyDescent="0.25">
      <c r="B4" s="3">
        <v>0.5</v>
      </c>
      <c r="C4" s="4" cm="1">
        <f t="array" ref="C4">ROUNDUP(CalcBasePrice(B4) / 10, -3)</f>
        <v>0</v>
      </c>
      <c r="E4" s="4">
        <f>'Q1'!F3</f>
        <v>6215000</v>
      </c>
      <c r="F4" s="4">
        <f>'Q2'!F11</f>
        <v>5640000</v>
      </c>
      <c r="G4" s="4"/>
    </row>
    <row r="5" spans="2:7" x14ac:dyDescent="0.25">
      <c r="B5" s="3">
        <v>1</v>
      </c>
      <c r="C5" s="4" cm="1">
        <f t="array" ref="C5">ROUNDUP(CalcBasePrice(B5) / 10, -3)</f>
        <v>0</v>
      </c>
      <c r="E5" s="4">
        <f>'Q1'!F4</f>
        <v>12163000</v>
      </c>
      <c r="F5" s="4">
        <f>'Q2'!F17</f>
        <v>11100000</v>
      </c>
      <c r="G5" s="4">
        <f>'Q3'!G3</f>
        <v>12230000</v>
      </c>
    </row>
    <row r="6" spans="2:7" x14ac:dyDescent="0.25">
      <c r="B6" s="3">
        <v>2.5</v>
      </c>
      <c r="C6" s="4" cm="1">
        <f t="array" ref="C6">ROUNDUP(CalcBasePrice(B6) / 10, -3)</f>
        <v>0</v>
      </c>
      <c r="E6" s="4">
        <f>'Q1'!F5</f>
        <v>29913000</v>
      </c>
      <c r="F6" s="4"/>
      <c r="G6" s="4">
        <f>'Q3'!G4</f>
        <v>30020000</v>
      </c>
    </row>
    <row r="7" spans="2:7" x14ac:dyDescent="0.25">
      <c r="B7" s="3">
        <v>5</v>
      </c>
      <c r="C7" s="4" cm="1">
        <f t="array" ref="C7">ROUNDUP(CalcBasePrice(B7) / 10, -3)</f>
        <v>0</v>
      </c>
      <c r="E7" s="4">
        <f>'Q1'!F6</f>
        <v>59054000</v>
      </c>
      <c r="F7" s="4"/>
      <c r="G7" s="4">
        <f>'Q3'!G5</f>
        <v>60040000</v>
      </c>
    </row>
    <row r="8" spans="2:7" x14ac:dyDescent="0.25">
      <c r="B8" s="3">
        <v>10</v>
      </c>
      <c r="C8" s="4" cm="1">
        <f t="array" ref="C8">ROUNDUP(CalcBasePrice(B8) / 10, -3)</f>
        <v>0</v>
      </c>
      <c r="E8" s="4">
        <f>'Q1'!F7</f>
        <v>116683000</v>
      </c>
      <c r="F8" s="4"/>
      <c r="G8" s="4">
        <f>'Q3'!G6</f>
        <v>116830000</v>
      </c>
    </row>
    <row r="9" spans="2:7" x14ac:dyDescent="0.25">
      <c r="B9" s="3">
        <v>20</v>
      </c>
      <c r="C9" s="4" cm="1">
        <f t="array" ref="C9">ROUNDUP(CalcBasePrice(B9) / 10, -3)</f>
        <v>0</v>
      </c>
      <c r="E9" s="4">
        <f>'Q1'!F8</f>
        <v>230001000</v>
      </c>
      <c r="F9" s="4"/>
      <c r="G9" s="4">
        <f>'Q3'!G8</f>
        <v>229320000</v>
      </c>
    </row>
    <row r="10" spans="2:7" x14ac:dyDescent="0.25">
      <c r="B10" s="3"/>
    </row>
    <row r="11" spans="2:7" x14ac:dyDescent="0.25">
      <c r="B11" s="3"/>
    </row>
    <row r="12" spans="2:7" x14ac:dyDescent="0.25">
      <c r="B12" s="3"/>
    </row>
    <row r="13" spans="2:7" x14ac:dyDescent="0.25">
      <c r="B13" s="3"/>
    </row>
    <row r="14" spans="2:7" x14ac:dyDescent="0.25">
      <c r="B14" s="3"/>
    </row>
    <row r="15" spans="2:7" x14ac:dyDescent="0.25">
      <c r="B15" s="3"/>
    </row>
    <row r="16" spans="2:7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</sheetData>
  <mergeCells count="1">
    <mergeCell ref="E2:G2"/>
  </mergeCells>
  <conditionalFormatting sqref="E5:G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4:G4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E16C7-5ECA-4C28-AD31-098EBB58D537}">
  <sheetPr codeName="Sheet6"/>
  <dimension ref="B1:K5"/>
  <sheetViews>
    <sheetView tabSelected="1" workbookViewId="0">
      <selection activeCell="D3" sqref="D3:D4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9" width="2.7109375" style="1" customWidth="1"/>
    <col min="10" max="10" width="12.7109375" style="1" customWidth="1"/>
    <col min="11" max="11" width="15.7109375" style="1" customWidth="1"/>
    <col min="12" max="16384" width="9.140625" style="1"/>
  </cols>
  <sheetData>
    <row r="1" spans="2:11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  <c r="J1" s="29" t="s">
        <v>52</v>
      </c>
      <c r="K1" s="30" t="s">
        <v>53</v>
      </c>
    </row>
    <row r="3" spans="2:11" x14ac:dyDescent="0.25">
      <c r="B3" s="1" t="s">
        <v>47</v>
      </c>
      <c r="C3" s="3">
        <v>0.5</v>
      </c>
      <c r="D3" s="4" cm="1">
        <f t="array" ref="D3">ROUNDUP(CalcBasePrice(C3)/10, -3)</f>
        <v>5941000</v>
      </c>
      <c r="E3" s="4"/>
      <c r="F3" s="4">
        <v>5640000</v>
      </c>
      <c r="G3" s="4">
        <f t="shared" ref="G3:G4" si="0">F3-D3</f>
        <v>-301000</v>
      </c>
      <c r="H3" s="23">
        <f>(F3-D3)/D3</f>
        <v>-5.0664871233799022E-2</v>
      </c>
      <c r="J3" s="3">
        <v>20</v>
      </c>
      <c r="K3" s="4">
        <f>J3*F3</f>
        <v>112800000</v>
      </c>
    </row>
    <row r="4" spans="2:11" x14ac:dyDescent="0.25">
      <c r="B4" s="1" t="s">
        <v>47</v>
      </c>
      <c r="C4" s="3">
        <v>1</v>
      </c>
      <c r="D4" s="4" cm="1">
        <f t="array" ref="D4">ROUNDUP(CalcBasePrice(C4)/10, -3)</f>
        <v>11881000</v>
      </c>
      <c r="F4" s="4">
        <v>11100000</v>
      </c>
      <c r="G4" s="4">
        <f t="shared" si="0"/>
        <v>-781000</v>
      </c>
      <c r="H4" s="23">
        <f t="shared" ref="H3:H4" si="1">(F4-D4)/D4</f>
        <v>-6.5735207474118346E-2</v>
      </c>
      <c r="J4" s="3">
        <v>80</v>
      </c>
      <c r="K4" s="4">
        <f>J4*F4</f>
        <v>888000000</v>
      </c>
    </row>
    <row r="5" spans="2:11" x14ac:dyDescent="0.25">
      <c r="K5" s="4">
        <f>SUM(K3:K4)</f>
        <v>1000800000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PriceBubble</vt:lpstr>
      <vt:lpstr>GoldBar</vt:lpstr>
      <vt:lpstr>Q1</vt:lpstr>
      <vt:lpstr>Q2</vt:lpstr>
      <vt:lpstr>Q3</vt:lpstr>
      <vt:lpstr>Compare</vt:lpstr>
      <vt:lpstr>Calc</vt:lpstr>
    </vt:vector>
  </TitlesOfParts>
  <Manager>Ehsan Haghpanah</Manager>
  <Company>© Ehsan Haghpanah, 2020, all rights reserved</Company>
  <LinksUpToDate>false</LinksUpToDate>
  <SharedDoc>false</SharedDoc>
  <HyperlinkBase>http://scenus.com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Ehsan Haghpanah; Documentation</dc:title>
  <dc:subject>Ehsan Haghpanah; Documentation</dc:subject>
  <dc:creator>Ehsan Haghpanah</dc:creator>
  <cp:keywords>Ehsan Haghpanah; Documentation;</cp:keywords>
  <dc:description>© Ehsan Haghpanah, 2020, all rights reserved</dc:description>
  <cp:lastModifiedBy>Ehsan Haghpanah</cp:lastModifiedBy>
  <dcterms:created xsi:type="dcterms:W3CDTF">2020-07-30T14:30:27Z</dcterms:created>
  <dcterms:modified xsi:type="dcterms:W3CDTF">2025-03-27T18:58:43Z</dcterms:modified>
  <cp:category>Documentation</cp:category>
</cp:coreProperties>
</file>